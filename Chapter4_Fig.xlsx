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EDANT M BHATIA\Downloads\"/>
    </mc:Choice>
  </mc:AlternateContent>
  <xr:revisionPtr revIDLastSave="0" documentId="13_ncr:1_{2D428965-8538-4639-80D5-569E092DAFB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dex" sheetId="1" r:id="rId1"/>
    <sheet name="Fig 4.1 Units per field" sheetId="2" r:id="rId2"/>
    <sheet name="Fig 4.2 Manual estimates" sheetId="3" r:id="rId3"/>
    <sheet name="Fig 4.3 Flags by company" sheetId="4" r:id="rId4"/>
    <sheet name="Fig 4.5 Effort by stage" sheetId="5" r:id="rId5"/>
    <sheet name="Fig 4.6 Totals by company" sheetId="6" r:id="rId6"/>
    <sheet name="Fig 4.7 Aggregate by stage" sheetId="7" r:id="rId7"/>
    <sheet name="Fig 4.8 Sector trend" sheetId="8" r:id="rId8"/>
    <sheet name="Fig 4.9 CO2 distribution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9" l="1"/>
  <c r="B20" i="9"/>
  <c r="B19" i="9"/>
  <c r="B18" i="9"/>
  <c r="B17" i="9"/>
  <c r="B16" i="9"/>
  <c r="E9" i="9"/>
  <c r="B22" i="8"/>
  <c r="C12" i="7"/>
  <c r="C11" i="7"/>
  <c r="C9" i="7"/>
  <c r="B9" i="7"/>
  <c r="E7" i="6"/>
  <c r="C7" i="6"/>
  <c r="B7" i="6"/>
  <c r="E6" i="6"/>
  <c r="D6" i="6"/>
  <c r="E5" i="6"/>
  <c r="D5" i="6"/>
  <c r="E4" i="6"/>
  <c r="D4" i="6"/>
  <c r="D7" i="6" s="1"/>
  <c r="F10" i="5"/>
  <c r="E10" i="5"/>
  <c r="D10" i="5"/>
  <c r="C10" i="5"/>
  <c r="B10" i="5"/>
  <c r="G9" i="5"/>
  <c r="G8" i="5"/>
  <c r="G7" i="5"/>
  <c r="G6" i="5"/>
  <c r="G5" i="5"/>
  <c r="G4" i="5"/>
  <c r="G10" i="5" s="1"/>
  <c r="C14" i="4"/>
  <c r="B14" i="4"/>
  <c r="D13" i="4"/>
  <c r="D12" i="4"/>
  <c r="D11" i="4"/>
  <c r="D10" i="4"/>
  <c r="D9" i="4"/>
  <c r="D8" i="4"/>
  <c r="D7" i="4"/>
  <c r="D6" i="4"/>
  <c r="D14" i="4" s="1"/>
  <c r="D5" i="4"/>
  <c r="D4" i="4"/>
  <c r="B12" i="3"/>
  <c r="B31" i="2"/>
  <c r="B30" i="2"/>
  <c r="B29" i="2"/>
  <c r="B28" i="2"/>
</calcChain>
</file>

<file path=xl/sharedStrings.xml><?xml version="1.0" encoding="utf-8"?>
<sst xmlns="http://schemas.openxmlformats.org/spreadsheetml/2006/main" count="179" uniqueCount="143">
  <si>
    <t>Chapter 4 figures as used in the dissertation</t>
  </si>
  <si>
    <t>Thesis figure</t>
  </si>
  <si>
    <t>Caption in the dissertation</t>
  </si>
  <si>
    <t>Sheet in this workbook</t>
  </si>
  <si>
    <t>Original source</t>
  </si>
  <si>
    <t>Chart type</t>
  </si>
  <si>
    <t>Figure 4.1</t>
  </si>
  <si>
    <t>Distinct units per field</t>
  </si>
  <si>
    <t>Fig 4.1 Units per field</t>
  </si>
  <si>
    <t>Chapter4_Figures.xlsx / Fig4.1 UnitsPerField</t>
  </si>
  <si>
    <t>Column</t>
  </si>
  <si>
    <t>Figure 4.2</t>
  </si>
  <si>
    <t>Manual reporting time, seven companies (indicative)</t>
  </si>
  <si>
    <t>Fig 4.2 Manual estimates</t>
  </si>
  <si>
    <t>Chapter4_UseCase_Figures.xlsx / Fig 4.8 Manual estimates</t>
  </si>
  <si>
    <t>Figure 4.3</t>
  </si>
  <si>
    <t>Anomalies surfaced by company across all validation rules</t>
  </si>
  <si>
    <t>Fig 4.3 Flags by company</t>
  </si>
  <si>
    <t>Chapter4_Figures.xlsx / Fig4.2 AnomaliesByCo</t>
  </si>
  <si>
    <t>Stacked column</t>
  </si>
  <si>
    <t>Figure 4.4</t>
  </si>
  <si>
    <t>The dss+ verification queue</t>
  </si>
  <si>
    <t>(no sheet)</t>
  </si>
  <si>
    <t>Screenshot of the platform, no underlying data</t>
  </si>
  <si>
    <t>None</t>
  </si>
  <si>
    <t>Figure 4.5</t>
  </si>
  <si>
    <t>Reporting effort by stage, manual versus platform</t>
  </si>
  <si>
    <t>Fig 4.5 Effort by stage</t>
  </si>
  <si>
    <t>Chapter4_UseCase_Figures.xlsx / Fig 4.5 Stage breakdown</t>
  </si>
  <si>
    <t>Figure 4.6</t>
  </si>
  <si>
    <t>Total reporting cycle time per company</t>
  </si>
  <si>
    <t>Fig 4.6 Totals by company</t>
  </si>
  <si>
    <t>Chapter4_UseCase_Figures.xlsx / Fig 4.6 Totals by company</t>
  </si>
  <si>
    <t>Clustered column</t>
  </si>
  <si>
    <t>Figure 4.7</t>
  </si>
  <si>
    <t>Aggregate effort by stage, where the hours go</t>
  </si>
  <si>
    <t>Fig 4.7 Aggregate by stage</t>
  </si>
  <si>
    <t>Chapter4_UseCase_Figures.xlsx / Fig 4.7 Stage shift</t>
  </si>
  <si>
    <t>Figure 4.8</t>
  </si>
  <si>
    <t>Sector intensity and renewable share, 2009 to 2025</t>
  </si>
  <si>
    <t>Fig 4.8 Sector trend</t>
  </si>
  <si>
    <t>Chapter4_Figures.xlsx / Fig4.5 SectorTrend</t>
  </si>
  <si>
    <t>Line, two axes</t>
  </si>
  <si>
    <t>Figure 4.9</t>
  </si>
  <si>
    <t>Distribution of company CO2 intensity, 2025</t>
  </si>
  <si>
    <t>Fig 4.9 CO2 distribution</t>
  </si>
  <si>
    <t>Chapter4_Figures.xlsx / Fig4.6 CO2Distribution</t>
  </si>
  <si>
    <t>Figure 4.1 - Distinct units per unit-bearing field</t>
  </si>
  <si>
    <t>Field</t>
  </si>
  <si>
    <t>Distinct units</t>
  </si>
  <si>
    <t>Energy - Natural Gas</t>
  </si>
  <si>
    <t>Energy - Sub bituminous coal</t>
  </si>
  <si>
    <t>Energy - Brown coal briquettes</t>
  </si>
  <si>
    <t>Energy - Other bituminous coal</t>
  </si>
  <si>
    <t>Energy - Diesel</t>
  </si>
  <si>
    <t>Energy - Petrol</t>
  </si>
  <si>
    <t>Energy - LPG</t>
  </si>
  <si>
    <t>Energy - Propane</t>
  </si>
  <si>
    <t>Energy - Waste tires</t>
  </si>
  <si>
    <t>Energy - Biomass</t>
  </si>
  <si>
    <t>Energy - Fuel Oil Heavy A</t>
  </si>
  <si>
    <t>Energy - Fuel Oil Heavy C</t>
  </si>
  <si>
    <t>Energy - Other</t>
  </si>
  <si>
    <t>Production</t>
  </si>
  <si>
    <t>Renewable Electricity Purchased</t>
  </si>
  <si>
    <t>Non-Renewable Electricity Purchased</t>
  </si>
  <si>
    <t>Self-generated electricity</t>
  </si>
  <si>
    <t>Purchased Steam</t>
  </si>
  <si>
    <t>Sold Electricity</t>
  </si>
  <si>
    <t>Sold Steam</t>
  </si>
  <si>
    <t>Water intake</t>
  </si>
  <si>
    <t>Total amount of Waste</t>
  </si>
  <si>
    <t>Amount of waste sent to recovery</t>
  </si>
  <si>
    <t>Unit-bearing fields</t>
  </si>
  <si>
    <t>Mean distinct units per field</t>
  </si>
  <si>
    <t>Minimum</t>
  </si>
  <si>
    <t>Maximum</t>
  </si>
  <si>
    <t>Figure 4.2 - Manual reporting time, seven companies (indicative)</t>
  </si>
  <si>
    <t>Company</t>
  </si>
  <si>
    <t>Estimated analyst hours</t>
  </si>
  <si>
    <t>Apex</t>
  </si>
  <si>
    <t>Meridian Rubber</t>
  </si>
  <si>
    <t>Northstar</t>
  </si>
  <si>
    <t>Pinnacle Elastomers</t>
  </si>
  <si>
    <t>Terragrip</t>
  </si>
  <si>
    <t>Velocity</t>
  </si>
  <si>
    <t>Summit Polymers</t>
  </si>
  <si>
    <t>Range</t>
  </si>
  <si>
    <t>Figure 4.3 - Anomalies surfaced by company across all validation rules</t>
  </si>
  <si>
    <t>Energy flags</t>
  </si>
  <si>
    <t>CO2 flags</t>
  </si>
  <si>
    <t>Total</t>
  </si>
  <si>
    <t>Michelin</t>
  </si>
  <si>
    <t>Velocity Rubber Corp</t>
  </si>
  <si>
    <t>Goodyear</t>
  </si>
  <si>
    <t>TerraGrip Industries</t>
  </si>
  <si>
    <t>Meridian Rubber Group</t>
  </si>
  <si>
    <t>Bridgestone</t>
  </si>
  <si>
    <t>Apex Tire Co</t>
  </si>
  <si>
    <t>Summit Polymer Industries</t>
  </si>
  <si>
    <t>NorthStar Tyres</t>
  </si>
  <si>
    <t>Figure 4.5 - Reporting effort by stage, manual versus platform</t>
  </si>
  <si>
    <t>Company and method</t>
  </si>
  <si>
    <t>Collection</t>
  </si>
  <si>
    <t>Processing</t>
  </si>
  <si>
    <t>Validation</t>
  </si>
  <si>
    <t>Analysis</t>
  </si>
  <si>
    <t>Verification</t>
  </si>
  <si>
    <t>Bridgestone - Manual</t>
  </si>
  <si>
    <t>Bridgestone - Platform</t>
  </si>
  <si>
    <t>Goodyear - Manual</t>
  </si>
  <si>
    <t>Goodyear - Platform</t>
  </si>
  <si>
    <t>Michelin - Manual</t>
  </si>
  <si>
    <t>Michelin - Platform</t>
  </si>
  <si>
    <t>Total, all six runs</t>
  </si>
  <si>
    <t>Figure 4.6 - Total reporting cycle time per company</t>
  </si>
  <si>
    <t>Manual</t>
  </si>
  <si>
    <t>Platform</t>
  </si>
  <si>
    <t>Hours saved</t>
  </si>
  <si>
    <t>Reduction</t>
  </si>
  <si>
    <t>Figure 4.7 - Aggregate effort by stage, where the hours go</t>
  </si>
  <si>
    <t>Stage</t>
  </si>
  <si>
    <t>Preparatory stages, three companies</t>
  </si>
  <si>
    <t>Preparatory stages, scaled to ten companies</t>
  </si>
  <si>
    <t>Figure 4.8 - Sector intensity and renewable share, 2009 to 2025</t>
  </si>
  <si>
    <t>Year</t>
  </si>
  <si>
    <t>CO2 intensity (tCO2/t)</t>
  </si>
  <si>
    <t>Energy intensity (GJ/t)</t>
  </si>
  <si>
    <t>Renewable share (%)</t>
  </si>
  <si>
    <t>Decline in CO2 intensity, 2009 to 2025</t>
  </si>
  <si>
    <t>Figure 4.9 - Distribution of company CO2 intensity, 2025</t>
  </si>
  <si>
    <t>CO2 intensity bin (tCO2/t)</t>
  </si>
  <si>
    <t>Number of companies</t>
  </si>
  <si>
    <t>0.60-0.69</t>
  </si>
  <si>
    <t>0.70-0.79</t>
  </si>
  <si>
    <t>0.80-0.89</t>
  </si>
  <si>
    <t>0.90-0.99</t>
  </si>
  <si>
    <t>1.00-1.09</t>
  </si>
  <si>
    <t>Summary statistics</t>
  </si>
  <si>
    <t>Q1</t>
  </si>
  <si>
    <t>Median</t>
  </si>
  <si>
    <t>Q3</t>
  </si>
  <si>
    <t>Spread, max over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</si>
</sst>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2" fontId="5" fillId="3" borderId="1" xfId="0" applyNumberFormat="1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2" fontId="5" fillId="0" borderId="0" xfId="0" applyNumberFormat="1" applyFont="1"/>
    <xf numFmtId="1" fontId="4" fillId="0" borderId="1" xfId="0" applyNumberFormat="1" applyFont="1" applyBorder="1"/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4" fontId="5" fillId="0" borderId="0" xfId="0" applyNumberFormat="1" applyFont="1"/>
    <xf numFmtId="0" fontId="4" fillId="0" borderId="0" xfId="0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D3E3B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4A5A4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C0504D"/>
      <rgbColor rgb="FFBE4B48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Distinct units per unit-bearing field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4.1 Units per field'!$B$3</c:f>
              <c:strCache>
                <c:ptCount val="1"/>
                <c:pt idx="0">
                  <c:v>Distinct units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4.1 Units per field'!$A$4:$A$26</c:f>
              <c:strCache>
                <c:ptCount val="23"/>
                <c:pt idx="0">
                  <c:v>Energy - Natural Gas</c:v>
                </c:pt>
                <c:pt idx="1">
                  <c:v>Energy - Sub bituminous coal</c:v>
                </c:pt>
                <c:pt idx="2">
                  <c:v>Energy - Brown coal briquettes</c:v>
                </c:pt>
                <c:pt idx="3">
                  <c:v>Energy - Other bituminous coal</c:v>
                </c:pt>
                <c:pt idx="4">
                  <c:v>Energy - Diesel</c:v>
                </c:pt>
                <c:pt idx="5">
                  <c:v>Energy - Petrol</c:v>
                </c:pt>
                <c:pt idx="6">
                  <c:v>Energy - LPG</c:v>
                </c:pt>
                <c:pt idx="7">
                  <c:v>Energy - Propane</c:v>
                </c:pt>
                <c:pt idx="8">
                  <c:v>Energy - Waste tires</c:v>
                </c:pt>
                <c:pt idx="9">
                  <c:v>Energy - Biomass</c:v>
                </c:pt>
                <c:pt idx="10">
                  <c:v>Energy - Fuel Oil Heavy A</c:v>
                </c:pt>
                <c:pt idx="11">
                  <c:v>Energy - Fuel Oil Heavy C</c:v>
                </c:pt>
                <c:pt idx="12">
                  <c:v>Energy - Other</c:v>
                </c:pt>
                <c:pt idx="13">
                  <c:v>Production</c:v>
                </c:pt>
                <c:pt idx="14">
                  <c:v>Renewable Electricity Purchased</c:v>
                </c:pt>
                <c:pt idx="15">
                  <c:v>Non-Renewable Electricity Purchased</c:v>
                </c:pt>
                <c:pt idx="16">
                  <c:v>Self-generated electricity</c:v>
                </c:pt>
                <c:pt idx="17">
                  <c:v>Purchased Steam</c:v>
                </c:pt>
                <c:pt idx="18">
                  <c:v>Sold Electricity</c:v>
                </c:pt>
                <c:pt idx="19">
                  <c:v>Sold Steam</c:v>
                </c:pt>
                <c:pt idx="20">
                  <c:v>Water intake</c:v>
                </c:pt>
                <c:pt idx="21">
                  <c:v>Total amount of Waste</c:v>
                </c:pt>
                <c:pt idx="22">
                  <c:v>Amount of waste sent to recovery</c:v>
                </c:pt>
              </c:strCache>
            </c:strRef>
          </c:cat>
          <c:val>
            <c:numRef>
              <c:f>'Fig 4.1 Units per field'!$B$4:$B$26</c:f>
              <c:numCache>
                <c:formatCode>General</c:formatCode>
                <c:ptCount val="2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8-4E03-8F88-693C47988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162390"/>
        <c:axId val="6585218"/>
      </c:barChart>
      <c:catAx>
        <c:axId val="63162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85218"/>
        <c:crosses val="autoZero"/>
        <c:auto val="1"/>
        <c:lblAlgn val="ctr"/>
        <c:lblOffset val="100"/>
        <c:noMultiLvlLbl val="0"/>
      </c:catAx>
      <c:valAx>
        <c:axId val="65852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distinct 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623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Manual reporting time, seven companies (indicative)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4.2 Manual estimates'!$B$3</c:f>
              <c:strCache>
                <c:ptCount val="1"/>
                <c:pt idx="0">
                  <c:v>Estimated analyst 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4.2 Manual estimates'!$A$4:$A$10</c:f>
              <c:strCache>
                <c:ptCount val="7"/>
                <c:pt idx="0">
                  <c:v>Apex</c:v>
                </c:pt>
                <c:pt idx="1">
                  <c:v>Meridian Rubber</c:v>
                </c:pt>
                <c:pt idx="2">
                  <c:v>Northstar</c:v>
                </c:pt>
                <c:pt idx="3">
                  <c:v>Pinnacle Elastomers</c:v>
                </c:pt>
                <c:pt idx="4">
                  <c:v>Terragrip</c:v>
                </c:pt>
                <c:pt idx="5">
                  <c:v>Velocity</c:v>
                </c:pt>
                <c:pt idx="6">
                  <c:v>Summit Polymers</c:v>
                </c:pt>
              </c:strCache>
            </c:strRef>
          </c:cat>
          <c:val>
            <c:numRef>
              <c:f>'Fig 4.2 Manual estimates'!$B$4:$B$10</c:f>
              <c:numCache>
                <c:formatCode>General</c:formatCode>
                <c:ptCount val="7"/>
                <c:pt idx="0">
                  <c:v>24</c:v>
                </c:pt>
                <c:pt idx="1">
                  <c:v>29</c:v>
                </c:pt>
                <c:pt idx="2">
                  <c:v>28</c:v>
                </c:pt>
                <c:pt idx="3">
                  <c:v>26</c:v>
                </c:pt>
                <c:pt idx="4">
                  <c:v>32</c:v>
                </c:pt>
                <c:pt idx="5">
                  <c:v>27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2-40D0-9DBB-72334D9A6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50185"/>
        <c:axId val="10189480"/>
      </c:barChart>
      <c:catAx>
        <c:axId val="9150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89480"/>
        <c:crosses val="autoZero"/>
        <c:auto val="1"/>
        <c:lblAlgn val="ctr"/>
        <c:lblOffset val="100"/>
        <c:noMultiLvlLbl val="0"/>
      </c:catAx>
      <c:valAx>
        <c:axId val="10189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Estimated analyst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01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Validation flags by company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 4.3 Flags by company'!$B$3</c:f>
              <c:strCache>
                <c:ptCount val="1"/>
                <c:pt idx="0">
                  <c:v>Energy flags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4.3 Flags by company'!$A$4:$A$13</c:f>
              <c:strCache>
                <c:ptCount val="10"/>
                <c:pt idx="0">
                  <c:v>Pinnacle Elastomers</c:v>
                </c:pt>
                <c:pt idx="1">
                  <c:v>Michelin</c:v>
                </c:pt>
                <c:pt idx="2">
                  <c:v>Velocity Rubber Corp</c:v>
                </c:pt>
                <c:pt idx="3">
                  <c:v>Goodyear</c:v>
                </c:pt>
                <c:pt idx="4">
                  <c:v>TerraGrip Industries</c:v>
                </c:pt>
                <c:pt idx="5">
                  <c:v>Meridian Rubber Group</c:v>
                </c:pt>
                <c:pt idx="6">
                  <c:v>Bridgestone</c:v>
                </c:pt>
                <c:pt idx="7">
                  <c:v>Apex Tire Co</c:v>
                </c:pt>
                <c:pt idx="8">
                  <c:v>Summit Polymer Industries</c:v>
                </c:pt>
                <c:pt idx="9">
                  <c:v>NorthStar Tyres</c:v>
                </c:pt>
              </c:strCache>
            </c:strRef>
          </c:cat>
          <c:val>
            <c:numRef>
              <c:f>'Fig 4.3 Flags by company'!$B$4:$B$13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5-447C-B627-072A5AF55031}"/>
            </c:ext>
          </c:extLst>
        </c:ser>
        <c:ser>
          <c:idx val="1"/>
          <c:order val="1"/>
          <c:tx>
            <c:strRef>
              <c:f>'Fig 4.3 Flags by company'!$C$3</c:f>
              <c:strCache>
                <c:ptCount val="1"/>
                <c:pt idx="0">
                  <c:v>CO2 flags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4.3 Flags by company'!$A$4:$A$13</c:f>
              <c:strCache>
                <c:ptCount val="10"/>
                <c:pt idx="0">
                  <c:v>Pinnacle Elastomers</c:v>
                </c:pt>
                <c:pt idx="1">
                  <c:v>Michelin</c:v>
                </c:pt>
                <c:pt idx="2">
                  <c:v>Velocity Rubber Corp</c:v>
                </c:pt>
                <c:pt idx="3">
                  <c:v>Goodyear</c:v>
                </c:pt>
                <c:pt idx="4">
                  <c:v>TerraGrip Industries</c:v>
                </c:pt>
                <c:pt idx="5">
                  <c:v>Meridian Rubber Group</c:v>
                </c:pt>
                <c:pt idx="6">
                  <c:v>Bridgestone</c:v>
                </c:pt>
                <c:pt idx="7">
                  <c:v>Apex Tire Co</c:v>
                </c:pt>
                <c:pt idx="8">
                  <c:v>Summit Polymer Industries</c:v>
                </c:pt>
                <c:pt idx="9">
                  <c:v>NorthStar Tyres</c:v>
                </c:pt>
              </c:strCache>
            </c:strRef>
          </c:cat>
          <c:val>
            <c:numRef>
              <c:f>'Fig 4.3 Flags by company'!$C$4:$C$13</c:f>
              <c:numCache>
                <c:formatCode>General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5-447C-B627-072A5AF55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607008"/>
        <c:axId val="7014057"/>
      </c:barChart>
      <c:catAx>
        <c:axId val="41607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4057"/>
        <c:crosses val="autoZero"/>
        <c:auto val="1"/>
        <c:lblAlgn val="ctr"/>
        <c:lblOffset val="100"/>
        <c:noMultiLvlLbl val="0"/>
      </c:catAx>
      <c:valAx>
        <c:axId val="70140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flags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07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Reporting effort by stage, manual versus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 4.5 Effort by stage'!$B$3</c:f>
              <c:strCache>
                <c:ptCount val="1"/>
                <c:pt idx="0">
                  <c:v>Collection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4.5 Effort by stage'!$A$4:$A$9</c:f>
              <c:strCache>
                <c:ptCount val="6"/>
                <c:pt idx="0">
                  <c:v>Bridgestone - Manual</c:v>
                </c:pt>
                <c:pt idx="1">
                  <c:v>Bridgestone - Platform</c:v>
                </c:pt>
                <c:pt idx="2">
                  <c:v>Goodyear - Manual</c:v>
                </c:pt>
                <c:pt idx="3">
                  <c:v>Goodyear - Platform</c:v>
                </c:pt>
                <c:pt idx="4">
                  <c:v>Michelin - Manual</c:v>
                </c:pt>
                <c:pt idx="5">
                  <c:v>Michelin - Platform</c:v>
                </c:pt>
              </c:strCache>
            </c:strRef>
          </c:cat>
          <c:val>
            <c:numRef>
              <c:f>'Fig 4.5 Effort by stage'!$B$4:$B$9</c:f>
              <c:numCache>
                <c:formatCode>0.00</c:formatCode>
                <c:ptCount val="6"/>
                <c:pt idx="0">
                  <c:v>2</c:v>
                </c:pt>
                <c:pt idx="1">
                  <c:v>0.5</c:v>
                </c:pt>
                <c:pt idx="2">
                  <c:v>2</c:v>
                </c:pt>
                <c:pt idx="3">
                  <c:v>0.33</c:v>
                </c:pt>
                <c:pt idx="4">
                  <c:v>2</c:v>
                </c:pt>
                <c:pt idx="5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2-4EF1-9C45-79567AD45000}"/>
            </c:ext>
          </c:extLst>
        </c:ser>
        <c:ser>
          <c:idx val="1"/>
          <c:order val="1"/>
          <c:tx>
            <c:strRef>
              <c:f>'Fig 4.5 Effort by stage'!$C$3</c:f>
              <c:strCache>
                <c:ptCount val="1"/>
                <c:pt idx="0">
                  <c:v>Processing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4.5 Effort by stage'!$A$4:$A$9</c:f>
              <c:strCache>
                <c:ptCount val="6"/>
                <c:pt idx="0">
                  <c:v>Bridgestone - Manual</c:v>
                </c:pt>
                <c:pt idx="1">
                  <c:v>Bridgestone - Platform</c:v>
                </c:pt>
                <c:pt idx="2">
                  <c:v>Goodyear - Manual</c:v>
                </c:pt>
                <c:pt idx="3">
                  <c:v>Goodyear - Platform</c:v>
                </c:pt>
                <c:pt idx="4">
                  <c:v>Michelin - Manual</c:v>
                </c:pt>
                <c:pt idx="5">
                  <c:v>Michelin - Platform</c:v>
                </c:pt>
              </c:strCache>
            </c:strRef>
          </c:cat>
          <c:val>
            <c:numRef>
              <c:f>'Fig 4.5 Effort by stage'!$C$4:$C$9</c:f>
              <c:numCache>
                <c:formatCode>0.00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0.33</c:v>
                </c:pt>
                <c:pt idx="4">
                  <c:v>1</c:v>
                </c:pt>
                <c:pt idx="5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2-4EF1-9C45-79567AD45000}"/>
            </c:ext>
          </c:extLst>
        </c:ser>
        <c:ser>
          <c:idx val="2"/>
          <c:order val="2"/>
          <c:tx>
            <c:strRef>
              <c:f>'Fig 4.5 Effort by stage'!$D$3</c:f>
              <c:strCache>
                <c:ptCount val="1"/>
                <c:pt idx="0">
                  <c:v>Validation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4.5 Effort by stage'!$A$4:$A$9</c:f>
              <c:strCache>
                <c:ptCount val="6"/>
                <c:pt idx="0">
                  <c:v>Bridgestone - Manual</c:v>
                </c:pt>
                <c:pt idx="1">
                  <c:v>Bridgestone - Platform</c:v>
                </c:pt>
                <c:pt idx="2">
                  <c:v>Goodyear - Manual</c:v>
                </c:pt>
                <c:pt idx="3">
                  <c:v>Goodyear - Platform</c:v>
                </c:pt>
                <c:pt idx="4">
                  <c:v>Michelin - Manual</c:v>
                </c:pt>
                <c:pt idx="5">
                  <c:v>Michelin - Platform</c:v>
                </c:pt>
              </c:strCache>
            </c:strRef>
          </c:cat>
          <c:val>
            <c:numRef>
              <c:f>'Fig 4.5 Effort by stage'!$D$4:$D$9</c:f>
              <c:numCache>
                <c:formatCode>0.00</c:formatCode>
                <c:ptCount val="6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D2-4EF1-9C45-79567AD45000}"/>
            </c:ext>
          </c:extLst>
        </c:ser>
        <c:ser>
          <c:idx val="3"/>
          <c:order val="3"/>
          <c:tx>
            <c:strRef>
              <c:f>'Fig 4.5 Effort by stage'!$E$3</c:f>
              <c:strCache>
                <c:ptCount val="1"/>
                <c:pt idx="0">
                  <c:v>Analysis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4.5 Effort by stage'!$A$4:$A$9</c:f>
              <c:strCache>
                <c:ptCount val="6"/>
                <c:pt idx="0">
                  <c:v>Bridgestone - Manual</c:v>
                </c:pt>
                <c:pt idx="1">
                  <c:v>Bridgestone - Platform</c:v>
                </c:pt>
                <c:pt idx="2">
                  <c:v>Goodyear - Manual</c:v>
                </c:pt>
                <c:pt idx="3">
                  <c:v>Goodyear - Platform</c:v>
                </c:pt>
                <c:pt idx="4">
                  <c:v>Michelin - Manual</c:v>
                </c:pt>
                <c:pt idx="5">
                  <c:v>Michelin - Platform</c:v>
                </c:pt>
              </c:strCache>
            </c:strRef>
          </c:cat>
          <c:val>
            <c:numRef>
              <c:f>'Fig 4.5 Effort by stage'!$E$4:$E$9</c:f>
              <c:numCache>
                <c:formatCode>0.00</c:formatCode>
                <c:ptCount val="6"/>
                <c:pt idx="0">
                  <c:v>6</c:v>
                </c:pt>
                <c:pt idx="1">
                  <c:v>1</c:v>
                </c:pt>
                <c:pt idx="2">
                  <c:v>8</c:v>
                </c:pt>
                <c:pt idx="3">
                  <c:v>0.33</c:v>
                </c:pt>
                <c:pt idx="4">
                  <c:v>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D2-4EF1-9C45-79567AD45000}"/>
            </c:ext>
          </c:extLst>
        </c:ser>
        <c:ser>
          <c:idx val="4"/>
          <c:order val="4"/>
          <c:tx>
            <c:strRef>
              <c:f>'Fig 4.5 Effort by stage'!$F$3</c:f>
              <c:strCache>
                <c:ptCount val="1"/>
                <c:pt idx="0">
                  <c:v>Verification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4.5 Effort by stage'!$A$4:$A$9</c:f>
              <c:strCache>
                <c:ptCount val="6"/>
                <c:pt idx="0">
                  <c:v>Bridgestone - Manual</c:v>
                </c:pt>
                <c:pt idx="1">
                  <c:v>Bridgestone - Platform</c:v>
                </c:pt>
                <c:pt idx="2">
                  <c:v>Goodyear - Manual</c:v>
                </c:pt>
                <c:pt idx="3">
                  <c:v>Goodyear - Platform</c:v>
                </c:pt>
                <c:pt idx="4">
                  <c:v>Michelin - Manual</c:v>
                </c:pt>
                <c:pt idx="5">
                  <c:v>Michelin - Platform</c:v>
                </c:pt>
              </c:strCache>
            </c:strRef>
          </c:cat>
          <c:val>
            <c:numRef>
              <c:f>'Fig 4.5 Effort by stage'!$F$4:$F$9</c:f>
              <c:numCache>
                <c:formatCode>0.00</c:formatCode>
                <c:ptCount val="6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D2-4EF1-9C45-79567AD45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388385"/>
        <c:axId val="96358359"/>
      </c:barChart>
      <c:catAx>
        <c:axId val="293883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Company and 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358359"/>
        <c:crosses val="autoZero"/>
        <c:auto val="1"/>
        <c:lblAlgn val="ctr"/>
        <c:lblOffset val="100"/>
        <c:noMultiLvlLbl val="0"/>
      </c:catAx>
      <c:valAx>
        <c:axId val="96358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Analyst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883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reporting cycle time per company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4.6 Totals by company'!$B$3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4.6 Totals by company'!$A$4:$A$6</c:f>
              <c:strCache>
                <c:ptCount val="3"/>
                <c:pt idx="0">
                  <c:v>Bridgestone</c:v>
                </c:pt>
                <c:pt idx="1">
                  <c:v>Goodyear</c:v>
                </c:pt>
                <c:pt idx="2">
                  <c:v>Michelin</c:v>
                </c:pt>
              </c:strCache>
            </c:strRef>
          </c:cat>
          <c:val>
            <c:numRef>
              <c:f>'Fig 4.6 Totals by company'!$B$4:$B$6</c:f>
              <c:numCache>
                <c:formatCode>General</c:formatCode>
                <c:ptCount val="3"/>
                <c:pt idx="0">
                  <c:v>21</c:v>
                </c:pt>
                <c:pt idx="1">
                  <c:v>20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C-4263-A766-7D09E858675C}"/>
            </c:ext>
          </c:extLst>
        </c:ser>
        <c:ser>
          <c:idx val="1"/>
          <c:order val="1"/>
          <c:tx>
            <c:strRef>
              <c:f>'Fig 4.6 Totals by company'!$C$3</c:f>
              <c:strCache>
                <c:ptCount val="1"/>
                <c:pt idx="0">
                  <c:v>Platform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4.6 Totals by company'!$A$4:$A$6</c:f>
              <c:strCache>
                <c:ptCount val="3"/>
                <c:pt idx="0">
                  <c:v>Bridgestone</c:v>
                </c:pt>
                <c:pt idx="1">
                  <c:v>Goodyear</c:v>
                </c:pt>
                <c:pt idx="2">
                  <c:v>Michelin</c:v>
                </c:pt>
              </c:strCache>
            </c:strRef>
          </c:cat>
          <c:val>
            <c:numRef>
              <c:f>'Fig 4.6 Totals by company'!$C$4:$C$6</c:f>
              <c:numCache>
                <c:formatCode>General</c:formatCode>
                <c:ptCount val="3"/>
                <c:pt idx="0">
                  <c:v>8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C-4263-A766-7D09E8586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27531"/>
        <c:axId val="93870348"/>
      </c:barChart>
      <c:catAx>
        <c:axId val="46227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870348"/>
        <c:crosses val="autoZero"/>
        <c:auto val="1"/>
        <c:lblAlgn val="ctr"/>
        <c:lblOffset val="100"/>
        <c:noMultiLvlLbl val="0"/>
      </c:catAx>
      <c:valAx>
        <c:axId val="93870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Analyst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2275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Aggregate effort by stage, manual versus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4.7 Aggregate by stage'!$B$3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4.7 Aggregate by stage'!$A$4:$A$8</c:f>
              <c:strCache>
                <c:ptCount val="5"/>
                <c:pt idx="0">
                  <c:v>Collection</c:v>
                </c:pt>
                <c:pt idx="1">
                  <c:v>Processing</c:v>
                </c:pt>
                <c:pt idx="2">
                  <c:v>Validation</c:v>
                </c:pt>
                <c:pt idx="3">
                  <c:v>Analysis</c:v>
                </c:pt>
                <c:pt idx="4">
                  <c:v>Verification</c:v>
                </c:pt>
              </c:strCache>
            </c:strRef>
          </c:cat>
          <c:val>
            <c:numRef>
              <c:f>'Fig 4.7 Aggregate by stage'!$B$4:$B$8</c:f>
              <c:numCache>
                <c:formatCode>0.00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16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B-492F-9473-3A3FE667A0F8}"/>
            </c:ext>
          </c:extLst>
        </c:ser>
        <c:ser>
          <c:idx val="1"/>
          <c:order val="1"/>
          <c:tx>
            <c:strRef>
              <c:f>'Fig 4.7 Aggregate by stage'!$C$3</c:f>
              <c:strCache>
                <c:ptCount val="1"/>
                <c:pt idx="0">
                  <c:v>Platform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4.7 Aggregate by stage'!$A$4:$A$8</c:f>
              <c:strCache>
                <c:ptCount val="5"/>
                <c:pt idx="0">
                  <c:v>Collection</c:v>
                </c:pt>
                <c:pt idx="1">
                  <c:v>Processing</c:v>
                </c:pt>
                <c:pt idx="2">
                  <c:v>Validation</c:v>
                </c:pt>
                <c:pt idx="3">
                  <c:v>Analysis</c:v>
                </c:pt>
                <c:pt idx="4">
                  <c:v>Verification</c:v>
                </c:pt>
              </c:strCache>
            </c:strRef>
          </c:cat>
          <c:val>
            <c:numRef>
              <c:f>'Fig 4.7 Aggregate by stage'!$C$4:$C$8</c:f>
              <c:numCache>
                <c:formatCode>0.00</c:formatCode>
                <c:ptCount val="5"/>
                <c:pt idx="0">
                  <c:v>1.17</c:v>
                </c:pt>
                <c:pt idx="1">
                  <c:v>1.5</c:v>
                </c:pt>
                <c:pt idx="2">
                  <c:v>9</c:v>
                </c:pt>
                <c:pt idx="3">
                  <c:v>1.83</c:v>
                </c:pt>
                <c:pt idx="4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EB-492F-9473-3A3FE667A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91298"/>
        <c:axId val="57750395"/>
      </c:barChart>
      <c:catAx>
        <c:axId val="494912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750395"/>
        <c:crosses val="autoZero"/>
        <c:auto val="1"/>
        <c:lblAlgn val="ctr"/>
        <c:lblOffset val="100"/>
        <c:noMultiLvlLbl val="0"/>
      </c:catAx>
      <c:valAx>
        <c:axId val="57750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Analyst hours, three companies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912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Sector intensity and renewable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 4.8 Sector trend'!$B$3</c:f>
              <c:strCache>
                <c:ptCount val="1"/>
                <c:pt idx="0">
                  <c:v>CO2 intensity (tCO2/t)</c:v>
                </c:pt>
              </c:strCache>
            </c:strRef>
          </c:tx>
          <c:spPr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'Fig 4.8 Sector trend'!$A$4:$A$20</c:f>
              <c:numCache>
                <c:formatCode>0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'Fig 4.8 Sector trend'!$B$4:$B$20</c:f>
              <c:numCache>
                <c:formatCode>0.000</c:formatCode>
                <c:ptCount val="17"/>
                <c:pt idx="0">
                  <c:v>0.871</c:v>
                </c:pt>
                <c:pt idx="1">
                  <c:v>0.86699999999999999</c:v>
                </c:pt>
                <c:pt idx="2">
                  <c:v>0.89200000000000002</c:v>
                </c:pt>
                <c:pt idx="3">
                  <c:v>0.85599999999999998</c:v>
                </c:pt>
                <c:pt idx="4">
                  <c:v>0.91100000000000003</c:v>
                </c:pt>
                <c:pt idx="5">
                  <c:v>0.84599999999999997</c:v>
                </c:pt>
                <c:pt idx="6">
                  <c:v>0.88400000000000001</c:v>
                </c:pt>
                <c:pt idx="7">
                  <c:v>0.91800000000000004</c:v>
                </c:pt>
                <c:pt idx="8">
                  <c:v>0.9</c:v>
                </c:pt>
                <c:pt idx="9">
                  <c:v>0.86</c:v>
                </c:pt>
                <c:pt idx="10">
                  <c:v>0.82899999999999996</c:v>
                </c:pt>
                <c:pt idx="11">
                  <c:v>0.82699999999999996</c:v>
                </c:pt>
                <c:pt idx="12">
                  <c:v>0.84799999999999998</c:v>
                </c:pt>
                <c:pt idx="13">
                  <c:v>0.80900000000000005</c:v>
                </c:pt>
                <c:pt idx="14">
                  <c:v>0.82099999999999995</c:v>
                </c:pt>
                <c:pt idx="15">
                  <c:v>0.80700000000000005</c:v>
                </c:pt>
                <c:pt idx="16">
                  <c:v>0.74399999999999999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2B-4852-B4FB-0DCA8E42F947}"/>
            </c:ext>
          </c:extLst>
        </c:ser>
        <c:ser>
          <c:idx val="1"/>
          <c:order val="1"/>
          <c:tx>
            <c:strRef>
              <c:f>'Fig 4.8 Sector trend'!$C$3</c:f>
              <c:strCache>
                <c:ptCount val="1"/>
                <c:pt idx="0">
                  <c:v>Energy intensity (GJ/t)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'Fig 4.8 Sector trend'!$A$4:$A$20</c:f>
              <c:numCache>
                <c:formatCode>0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'Fig 4.8 Sector trend'!$C$4:$C$20</c:f>
              <c:numCache>
                <c:formatCode>0.000</c:formatCode>
                <c:ptCount val="17"/>
                <c:pt idx="0">
                  <c:v>9.9459999999999997</c:v>
                </c:pt>
                <c:pt idx="1">
                  <c:v>10.462</c:v>
                </c:pt>
                <c:pt idx="2">
                  <c:v>10.321</c:v>
                </c:pt>
                <c:pt idx="3">
                  <c:v>10.326000000000001</c:v>
                </c:pt>
                <c:pt idx="4">
                  <c:v>10.898999999999999</c:v>
                </c:pt>
                <c:pt idx="5">
                  <c:v>10.422000000000001</c:v>
                </c:pt>
                <c:pt idx="6">
                  <c:v>11.297000000000001</c:v>
                </c:pt>
                <c:pt idx="7">
                  <c:v>11.234</c:v>
                </c:pt>
                <c:pt idx="8">
                  <c:v>11.614000000000001</c:v>
                </c:pt>
                <c:pt idx="9">
                  <c:v>11.156000000000001</c:v>
                </c:pt>
                <c:pt idx="10">
                  <c:v>10.891</c:v>
                </c:pt>
                <c:pt idx="11">
                  <c:v>11.058</c:v>
                </c:pt>
                <c:pt idx="12">
                  <c:v>11.037000000000001</c:v>
                </c:pt>
                <c:pt idx="13">
                  <c:v>11.282999999999999</c:v>
                </c:pt>
                <c:pt idx="14">
                  <c:v>11.406000000000001</c:v>
                </c:pt>
                <c:pt idx="15">
                  <c:v>11.342000000000001</c:v>
                </c:pt>
                <c:pt idx="16">
                  <c:v>11.478999999999999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32B-4852-B4FB-0DCA8E42F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809296"/>
        <c:axId val="76298948"/>
      </c:lineChart>
      <c:lineChart>
        <c:grouping val="standard"/>
        <c:varyColors val="0"/>
        <c:ser>
          <c:idx val="2"/>
          <c:order val="2"/>
          <c:tx>
            <c:strRef>
              <c:f>'Fig 4.8 Sector trend'!$D$3</c:f>
              <c:strCache>
                <c:ptCount val="1"/>
                <c:pt idx="0">
                  <c:v>Renewable share (%)</c:v>
                </c:pt>
              </c:strCache>
            </c:strRef>
          </c:tx>
          <c:spPr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'Fig 4.8 Sector trend'!$A$4:$A$20</c:f>
              <c:numCache>
                <c:formatCode>0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'Fig 4.8 Sector trend'!$D$4:$D$20</c:f>
              <c:numCache>
                <c:formatCode>0.0</c:formatCode>
                <c:ptCount val="17"/>
                <c:pt idx="0">
                  <c:v>3.3</c:v>
                </c:pt>
                <c:pt idx="1">
                  <c:v>4.9000000000000004</c:v>
                </c:pt>
                <c:pt idx="2">
                  <c:v>6.9</c:v>
                </c:pt>
                <c:pt idx="3">
                  <c:v>9.4</c:v>
                </c:pt>
                <c:pt idx="4">
                  <c:v>10.4</c:v>
                </c:pt>
                <c:pt idx="5">
                  <c:v>13.9</c:v>
                </c:pt>
                <c:pt idx="6">
                  <c:v>17.100000000000001</c:v>
                </c:pt>
                <c:pt idx="7">
                  <c:v>15.3</c:v>
                </c:pt>
                <c:pt idx="8">
                  <c:v>20.100000000000001</c:v>
                </c:pt>
                <c:pt idx="9">
                  <c:v>21.2</c:v>
                </c:pt>
                <c:pt idx="10">
                  <c:v>25.7</c:v>
                </c:pt>
                <c:pt idx="11">
                  <c:v>25.7</c:v>
                </c:pt>
                <c:pt idx="12">
                  <c:v>24.4</c:v>
                </c:pt>
                <c:pt idx="13">
                  <c:v>29.5</c:v>
                </c:pt>
                <c:pt idx="14">
                  <c:v>30.6</c:v>
                </c:pt>
                <c:pt idx="15">
                  <c:v>33.9</c:v>
                </c:pt>
                <c:pt idx="16">
                  <c:v>41.2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32B-4852-B4FB-0DCA8E42F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18930"/>
        <c:axId val="25772060"/>
      </c:lineChart>
      <c:catAx>
        <c:axId val="168092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298948"/>
        <c:crosses val="autoZero"/>
        <c:auto val="1"/>
        <c:lblAlgn val="ctr"/>
        <c:lblOffset val="100"/>
        <c:noMultiLvlLbl val="0"/>
      </c:catAx>
      <c:valAx>
        <c:axId val="76298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Intensity per tonne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809296"/>
        <c:crosses val="autoZero"/>
        <c:crossBetween val="between"/>
      </c:valAx>
      <c:catAx>
        <c:axId val="9818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72060"/>
        <c:crosses val="autoZero"/>
        <c:auto val="1"/>
        <c:lblAlgn val="ctr"/>
        <c:lblOffset val="100"/>
        <c:noMultiLvlLbl val="0"/>
      </c:catAx>
      <c:valAx>
        <c:axId val="2577206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Renewable share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1893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Distribution of company CO2 intensity,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4.9 CO2 distribution'!$E$3</c:f>
              <c:strCache>
                <c:ptCount val="1"/>
                <c:pt idx="0">
                  <c:v>Number of companies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 4.9 CO2 distribution'!$D$4:$D$8</c:f>
              <c:strCache>
                <c:ptCount val="5"/>
                <c:pt idx="0">
                  <c:v>0.60-0.69</c:v>
                </c:pt>
                <c:pt idx="1">
                  <c:v>0.70-0.79</c:v>
                </c:pt>
                <c:pt idx="2">
                  <c:v>0.80-0.89</c:v>
                </c:pt>
                <c:pt idx="3">
                  <c:v>0.90-0.99</c:v>
                </c:pt>
                <c:pt idx="4">
                  <c:v>1.00-1.09</c:v>
                </c:pt>
              </c:strCache>
            </c:strRef>
          </c:cat>
          <c:val>
            <c:numRef>
              <c:f>'Fig 4.9 CO2 distribution'!$E$4:$E$8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8-48E3-AF4B-C97A34F65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46938"/>
        <c:axId val="228291"/>
      </c:barChart>
      <c:catAx>
        <c:axId val="556469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CO2 intensity bin (tCO2/t)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8291"/>
        <c:crosses val="autoZero"/>
        <c:auto val="1"/>
        <c:lblAlgn val="ctr"/>
        <c:lblOffset val="100"/>
        <c:noMultiLvlLbl val="0"/>
      </c:catAx>
      <c:valAx>
        <c:axId val="228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companies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6469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18</xdr:col>
      <xdr:colOff>186480</xdr:colOff>
      <xdr:row>22</xdr:row>
      <xdr:rowOff>149040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14</xdr:col>
      <xdr:colOff>472680</xdr:colOff>
      <xdr:row>16</xdr:row>
      <xdr:rowOff>63000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17</xdr:col>
      <xdr:colOff>581040</xdr:colOff>
      <xdr:row>18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20</xdr:col>
      <xdr:colOff>581400</xdr:colOff>
      <xdr:row>17</xdr:row>
      <xdr:rowOff>79200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16</xdr:col>
      <xdr:colOff>364320</xdr:colOff>
      <xdr:row>16</xdr:row>
      <xdr:rowOff>42480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15</xdr:col>
      <xdr:colOff>472680</xdr:colOff>
      <xdr:row>16</xdr:row>
      <xdr:rowOff>175320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17</xdr:col>
      <xdr:colOff>581040</xdr:colOff>
      <xdr:row>22</xdr:row>
      <xdr:rowOff>36720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16</xdr:col>
      <xdr:colOff>363960</xdr:colOff>
      <xdr:row>20</xdr:row>
      <xdr:rowOff>170280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zoomScaleNormal="100" workbookViewId="0">
      <selection activeCell="B20" sqref="B20"/>
    </sheetView>
  </sheetViews>
  <sheetFormatPr defaultColWidth="8.7109375" defaultRowHeight="15" x14ac:dyDescent="0.25"/>
  <cols>
    <col min="1" max="1" width="14" customWidth="1"/>
    <col min="2" max="2" width="52" customWidth="1"/>
    <col min="3" max="3" width="28" customWidth="1"/>
    <col min="4" max="4" width="52" customWidth="1"/>
    <col min="5" max="5" width="16" customWidth="1"/>
  </cols>
  <sheetData>
    <row r="1" spans="1:5" ht="17.25" customHeight="1" x14ac:dyDescent="0.25">
      <c r="A1" s="1" t="s">
        <v>0</v>
      </c>
    </row>
    <row r="2" spans="1:5" ht="22.5" customHeight="1" x14ac:dyDescent="0.25">
      <c r="A2" s="2"/>
    </row>
    <row r="4" spans="1:5" ht="1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15" customHeight="1" x14ac:dyDescent="0.25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</row>
    <row r="6" spans="1:5" ht="15" customHeight="1" x14ac:dyDescent="0.25">
      <c r="A6" s="4" t="s">
        <v>11</v>
      </c>
      <c r="B6" s="5" t="s">
        <v>12</v>
      </c>
      <c r="C6" s="5" t="s">
        <v>13</v>
      </c>
      <c r="D6" s="5" t="s">
        <v>14</v>
      </c>
      <c r="E6" s="5" t="s">
        <v>10</v>
      </c>
    </row>
    <row r="7" spans="1:5" ht="15" customHeight="1" x14ac:dyDescent="0.25">
      <c r="A7" s="4" t="s">
        <v>15</v>
      </c>
      <c r="B7" s="5" t="s">
        <v>16</v>
      </c>
      <c r="C7" s="5" t="s">
        <v>17</v>
      </c>
      <c r="D7" s="5" t="s">
        <v>18</v>
      </c>
      <c r="E7" s="5" t="s">
        <v>19</v>
      </c>
    </row>
    <row r="8" spans="1:5" ht="15" customHeight="1" x14ac:dyDescent="0.25">
      <c r="A8" s="4" t="s">
        <v>20</v>
      </c>
      <c r="B8" s="5" t="s">
        <v>21</v>
      </c>
      <c r="C8" s="5" t="s">
        <v>22</v>
      </c>
      <c r="D8" s="5" t="s">
        <v>23</v>
      </c>
      <c r="E8" s="5" t="s">
        <v>24</v>
      </c>
    </row>
    <row r="9" spans="1:5" ht="15" customHeight="1" x14ac:dyDescent="0.25">
      <c r="A9" s="4" t="s">
        <v>25</v>
      </c>
      <c r="B9" s="5" t="s">
        <v>26</v>
      </c>
      <c r="C9" s="5" t="s">
        <v>27</v>
      </c>
      <c r="D9" s="5" t="s">
        <v>28</v>
      </c>
      <c r="E9" s="5" t="s">
        <v>19</v>
      </c>
    </row>
    <row r="10" spans="1:5" ht="15" customHeight="1" x14ac:dyDescent="0.25">
      <c r="A10" s="4" t="s">
        <v>29</v>
      </c>
      <c r="B10" s="5" t="s">
        <v>30</v>
      </c>
      <c r="C10" s="5" t="s">
        <v>31</v>
      </c>
      <c r="D10" s="5" t="s">
        <v>32</v>
      </c>
      <c r="E10" s="5" t="s">
        <v>33</v>
      </c>
    </row>
    <row r="11" spans="1:5" ht="15" customHeight="1" x14ac:dyDescent="0.25">
      <c r="A11" s="4" t="s">
        <v>34</v>
      </c>
      <c r="B11" s="5" t="s">
        <v>35</v>
      </c>
      <c r="C11" s="5" t="s">
        <v>36</v>
      </c>
      <c r="D11" s="5" t="s">
        <v>37</v>
      </c>
      <c r="E11" s="5" t="s">
        <v>33</v>
      </c>
    </row>
    <row r="12" spans="1:5" ht="15" customHeight="1" x14ac:dyDescent="0.25">
      <c r="A12" s="4" t="s">
        <v>38</v>
      </c>
      <c r="B12" s="5" t="s">
        <v>39</v>
      </c>
      <c r="C12" s="5" t="s">
        <v>40</v>
      </c>
      <c r="D12" s="5" t="s">
        <v>41</v>
      </c>
      <c r="E12" s="5" t="s">
        <v>42</v>
      </c>
    </row>
    <row r="13" spans="1:5" ht="15" customHeight="1" x14ac:dyDescent="0.25">
      <c r="A13" s="4" t="s">
        <v>43</v>
      </c>
      <c r="B13" s="5" t="s">
        <v>44</v>
      </c>
      <c r="C13" s="5" t="s">
        <v>45</v>
      </c>
      <c r="D13" s="5" t="s">
        <v>46</v>
      </c>
      <c r="E13" s="5" t="s">
        <v>10</v>
      </c>
    </row>
    <row r="15" spans="1:5" ht="15" customHeight="1" x14ac:dyDescent="0.25">
      <c r="A15" s="6"/>
    </row>
    <row r="16" spans="1:5" ht="25.5" customHeight="1" x14ac:dyDescent="0.25">
      <c r="A16" s="2"/>
    </row>
    <row r="17" spans="1:1" ht="25.5" customHeight="1" x14ac:dyDescent="0.25"/>
    <row r="18" spans="1:1" ht="25.5" customHeight="1" x14ac:dyDescent="0.25">
      <c r="A18" s="2"/>
    </row>
    <row r="19" spans="1:1" ht="25.5" customHeight="1" x14ac:dyDescent="0.25"/>
    <row r="20" spans="1:1" ht="25.5" customHeight="1" x14ac:dyDescent="0.25">
      <c r="A20" s="2"/>
    </row>
    <row r="21" spans="1:1" ht="25.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showGridLines="0" zoomScaleNormal="100" workbookViewId="0">
      <selection activeCell="A33" sqref="A33"/>
    </sheetView>
  </sheetViews>
  <sheetFormatPr defaultColWidth="8.7109375" defaultRowHeight="15" x14ac:dyDescent="0.25"/>
  <cols>
    <col min="1" max="1" width="36" customWidth="1"/>
    <col min="2" max="2" width="14" customWidth="1"/>
  </cols>
  <sheetData>
    <row r="1" spans="1:2" ht="15" customHeight="1" x14ac:dyDescent="0.25">
      <c r="A1" s="7" t="s">
        <v>47</v>
      </c>
    </row>
    <row r="3" spans="1:2" ht="15" customHeight="1" x14ac:dyDescent="0.25">
      <c r="A3" s="3" t="s">
        <v>48</v>
      </c>
      <c r="B3" s="3" t="s">
        <v>49</v>
      </c>
    </row>
    <row r="4" spans="1:2" ht="15" customHeight="1" x14ac:dyDescent="0.25">
      <c r="A4" s="4" t="s">
        <v>50</v>
      </c>
      <c r="B4" s="5">
        <v>8</v>
      </c>
    </row>
    <row r="5" spans="1:2" ht="15" customHeight="1" x14ac:dyDescent="0.25">
      <c r="A5" s="4" t="s">
        <v>51</v>
      </c>
      <c r="B5" s="5">
        <v>8</v>
      </c>
    </row>
    <row r="6" spans="1:2" ht="15" customHeight="1" x14ac:dyDescent="0.25">
      <c r="A6" s="4" t="s">
        <v>52</v>
      </c>
      <c r="B6" s="5">
        <v>8</v>
      </c>
    </row>
    <row r="7" spans="1:2" ht="15" customHeight="1" x14ac:dyDescent="0.25">
      <c r="A7" s="4" t="s">
        <v>53</v>
      </c>
      <c r="B7" s="5">
        <v>8</v>
      </c>
    </row>
    <row r="8" spans="1:2" ht="15" customHeight="1" x14ac:dyDescent="0.25">
      <c r="A8" s="4" t="s">
        <v>54</v>
      </c>
      <c r="B8" s="5">
        <v>7</v>
      </c>
    </row>
    <row r="9" spans="1:2" ht="15" customHeight="1" x14ac:dyDescent="0.25">
      <c r="A9" s="4" t="s">
        <v>55</v>
      </c>
      <c r="B9" s="5">
        <v>7</v>
      </c>
    </row>
    <row r="10" spans="1:2" ht="15" customHeight="1" x14ac:dyDescent="0.25">
      <c r="A10" s="4" t="s">
        <v>56</v>
      </c>
      <c r="B10" s="5">
        <v>7</v>
      </c>
    </row>
    <row r="11" spans="1:2" ht="15" customHeight="1" x14ac:dyDescent="0.25">
      <c r="A11" s="4" t="s">
        <v>57</v>
      </c>
      <c r="B11" s="5">
        <v>7</v>
      </c>
    </row>
    <row r="12" spans="1:2" ht="15" customHeight="1" x14ac:dyDescent="0.25">
      <c r="A12" s="4" t="s">
        <v>58</v>
      </c>
      <c r="B12" s="5">
        <v>7</v>
      </c>
    </row>
    <row r="13" spans="1:2" ht="15" customHeight="1" x14ac:dyDescent="0.25">
      <c r="A13" s="4" t="s">
        <v>59</v>
      </c>
      <c r="B13" s="5">
        <v>6</v>
      </c>
    </row>
    <row r="14" spans="1:2" ht="15" customHeight="1" x14ac:dyDescent="0.25">
      <c r="A14" s="4" t="s">
        <v>60</v>
      </c>
      <c r="B14" s="5">
        <v>6</v>
      </c>
    </row>
    <row r="15" spans="1:2" ht="15" customHeight="1" x14ac:dyDescent="0.25">
      <c r="A15" s="4" t="s">
        <v>61</v>
      </c>
      <c r="B15" s="5">
        <v>6</v>
      </c>
    </row>
    <row r="16" spans="1:2" ht="15" customHeight="1" x14ac:dyDescent="0.25">
      <c r="A16" s="4" t="s">
        <v>62</v>
      </c>
      <c r="B16" s="5">
        <v>6</v>
      </c>
    </row>
    <row r="17" spans="1:2" ht="15" customHeight="1" x14ac:dyDescent="0.25">
      <c r="A17" s="4" t="s">
        <v>63</v>
      </c>
      <c r="B17" s="5">
        <v>5</v>
      </c>
    </row>
    <row r="18" spans="1:2" ht="15" customHeight="1" x14ac:dyDescent="0.25">
      <c r="A18" s="4" t="s">
        <v>64</v>
      </c>
      <c r="B18" s="5">
        <v>5</v>
      </c>
    </row>
    <row r="19" spans="1:2" ht="15" customHeight="1" x14ac:dyDescent="0.25">
      <c r="A19" s="4" t="s">
        <v>65</v>
      </c>
      <c r="B19" s="5">
        <v>5</v>
      </c>
    </row>
    <row r="20" spans="1:2" ht="15" customHeight="1" x14ac:dyDescent="0.25">
      <c r="A20" s="4" t="s">
        <v>66</v>
      </c>
      <c r="B20" s="5">
        <v>5</v>
      </c>
    </row>
    <row r="21" spans="1:2" ht="15" customHeight="1" x14ac:dyDescent="0.25">
      <c r="A21" s="4" t="s">
        <v>67</v>
      </c>
      <c r="B21" s="5">
        <v>5</v>
      </c>
    </row>
    <row r="22" spans="1:2" ht="15" customHeight="1" x14ac:dyDescent="0.25">
      <c r="A22" s="4" t="s">
        <v>68</v>
      </c>
      <c r="B22" s="5">
        <v>5</v>
      </c>
    </row>
    <row r="23" spans="1:2" ht="15" customHeight="1" x14ac:dyDescent="0.25">
      <c r="A23" s="4" t="s">
        <v>69</v>
      </c>
      <c r="B23" s="5">
        <v>5</v>
      </c>
    </row>
    <row r="24" spans="1:2" ht="15" customHeight="1" x14ac:dyDescent="0.25">
      <c r="A24" s="4" t="s">
        <v>70</v>
      </c>
      <c r="B24" s="5">
        <v>4</v>
      </c>
    </row>
    <row r="25" spans="1:2" ht="15" customHeight="1" x14ac:dyDescent="0.25">
      <c r="A25" s="4" t="s">
        <v>71</v>
      </c>
      <c r="B25" s="5">
        <v>3</v>
      </c>
    </row>
    <row r="26" spans="1:2" ht="15" customHeight="1" x14ac:dyDescent="0.25">
      <c r="A26" s="4" t="s">
        <v>72</v>
      </c>
      <c r="B26" s="5">
        <v>3</v>
      </c>
    </row>
    <row r="28" spans="1:2" ht="15" customHeight="1" x14ac:dyDescent="0.25">
      <c r="A28" s="6" t="s">
        <v>73</v>
      </c>
      <c r="B28" s="6">
        <f>COUNT(B4:B26)</f>
        <v>23</v>
      </c>
    </row>
    <row r="29" spans="1:2" ht="15" customHeight="1" x14ac:dyDescent="0.25">
      <c r="A29" s="6" t="s">
        <v>74</v>
      </c>
      <c r="B29" s="6">
        <f>ROUND(AVERAGE(B4:B26),1)</f>
        <v>5.9</v>
      </c>
    </row>
    <row r="30" spans="1:2" ht="15" customHeight="1" x14ac:dyDescent="0.25">
      <c r="A30" s="6" t="s">
        <v>75</v>
      </c>
      <c r="B30" s="6">
        <f>MIN(B4:B26)</f>
        <v>3</v>
      </c>
    </row>
    <row r="31" spans="1:2" ht="15" customHeight="1" x14ac:dyDescent="0.25">
      <c r="A31" s="6" t="s">
        <v>76</v>
      </c>
      <c r="B31" s="6">
        <f>MAX(B4:B26)</f>
        <v>8</v>
      </c>
    </row>
    <row r="33" spans="1:1" ht="42.75" customHeight="1" x14ac:dyDescent="0.25">
      <c r="A33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zoomScaleNormal="100" workbookViewId="0">
      <selection activeCell="A14" sqref="A14"/>
    </sheetView>
  </sheetViews>
  <sheetFormatPr defaultColWidth="8.7109375" defaultRowHeight="15" x14ac:dyDescent="0.25"/>
  <cols>
    <col min="1" max="1" width="24" customWidth="1"/>
    <col min="2" max="2" width="20" customWidth="1"/>
  </cols>
  <sheetData>
    <row r="1" spans="1:2" ht="15" customHeight="1" x14ac:dyDescent="0.25">
      <c r="A1" s="7" t="s">
        <v>77</v>
      </c>
    </row>
    <row r="3" spans="1:2" ht="23.25" customHeight="1" x14ac:dyDescent="0.25">
      <c r="A3" s="3" t="s">
        <v>78</v>
      </c>
      <c r="B3" s="3" t="s">
        <v>79</v>
      </c>
    </row>
    <row r="4" spans="1:2" ht="15" customHeight="1" x14ac:dyDescent="0.25">
      <c r="A4" s="4" t="s">
        <v>80</v>
      </c>
      <c r="B4" s="5">
        <v>24</v>
      </c>
    </row>
    <row r="5" spans="1:2" ht="15" customHeight="1" x14ac:dyDescent="0.25">
      <c r="A5" s="4" t="s">
        <v>81</v>
      </c>
      <c r="B5" s="5">
        <v>29</v>
      </c>
    </row>
    <row r="6" spans="1:2" ht="15" customHeight="1" x14ac:dyDescent="0.25">
      <c r="A6" s="4" t="s">
        <v>82</v>
      </c>
      <c r="B6" s="5">
        <v>28</v>
      </c>
    </row>
    <row r="7" spans="1:2" ht="15" customHeight="1" x14ac:dyDescent="0.25">
      <c r="A7" s="4" t="s">
        <v>83</v>
      </c>
      <c r="B7" s="5">
        <v>26</v>
      </c>
    </row>
    <row r="8" spans="1:2" ht="15" customHeight="1" x14ac:dyDescent="0.25">
      <c r="A8" s="4" t="s">
        <v>84</v>
      </c>
      <c r="B8" s="5">
        <v>32</v>
      </c>
    </row>
    <row r="9" spans="1:2" ht="15" customHeight="1" x14ac:dyDescent="0.25">
      <c r="A9" s="4" t="s">
        <v>85</v>
      </c>
      <c r="B9" s="5">
        <v>27</v>
      </c>
    </row>
    <row r="10" spans="1:2" ht="15" customHeight="1" x14ac:dyDescent="0.25">
      <c r="A10" s="4" t="s">
        <v>86</v>
      </c>
      <c r="B10" s="5">
        <v>28</v>
      </c>
    </row>
    <row r="12" spans="1:2" ht="15" customHeight="1" x14ac:dyDescent="0.25">
      <c r="A12" s="6" t="s">
        <v>87</v>
      </c>
      <c r="B12" s="6" t="str">
        <f>MIN(B4:B10)&amp;" to "&amp;MAX(B4:B10)</f>
        <v>24 to 32</v>
      </c>
    </row>
    <row r="14" spans="1:2" ht="74.25" customHeight="1" x14ac:dyDescent="0.25">
      <c r="A14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26" customWidth="1"/>
    <col min="2" max="3" width="14" customWidth="1"/>
    <col min="4" max="4" width="10" customWidth="1"/>
  </cols>
  <sheetData>
    <row r="1" spans="1:4" ht="15" customHeight="1" x14ac:dyDescent="0.25">
      <c r="A1" s="7" t="s">
        <v>88</v>
      </c>
    </row>
    <row r="3" spans="1:4" ht="15" customHeight="1" x14ac:dyDescent="0.25">
      <c r="A3" s="3" t="s">
        <v>78</v>
      </c>
      <c r="B3" s="3" t="s">
        <v>89</v>
      </c>
      <c r="C3" s="3" t="s">
        <v>90</v>
      </c>
      <c r="D3" s="3" t="s">
        <v>91</v>
      </c>
    </row>
    <row r="4" spans="1:4" ht="15" customHeight="1" x14ac:dyDescent="0.25">
      <c r="A4" s="4" t="s">
        <v>83</v>
      </c>
      <c r="B4" s="5">
        <v>8</v>
      </c>
      <c r="C4" s="5">
        <v>9</v>
      </c>
      <c r="D4" s="5">
        <f t="shared" ref="D4:D13" si="0">SUM(B4:C4)</f>
        <v>17</v>
      </c>
    </row>
    <row r="5" spans="1:4" ht="15" customHeight="1" x14ac:dyDescent="0.25">
      <c r="A5" s="4" t="s">
        <v>92</v>
      </c>
      <c r="B5" s="5">
        <v>7</v>
      </c>
      <c r="C5" s="5">
        <v>9</v>
      </c>
      <c r="D5" s="5">
        <f t="shared" si="0"/>
        <v>16</v>
      </c>
    </row>
    <row r="6" spans="1:4" ht="15" customHeight="1" x14ac:dyDescent="0.25">
      <c r="A6" s="4" t="s">
        <v>93</v>
      </c>
      <c r="B6" s="5">
        <v>6</v>
      </c>
      <c r="C6" s="5">
        <v>5</v>
      </c>
      <c r="D6" s="5">
        <f t="shared" si="0"/>
        <v>11</v>
      </c>
    </row>
    <row r="7" spans="1:4" ht="15" customHeight="1" x14ac:dyDescent="0.25">
      <c r="A7" s="4" t="s">
        <v>94</v>
      </c>
      <c r="B7" s="5">
        <v>6</v>
      </c>
      <c r="C7" s="5">
        <v>5</v>
      </c>
      <c r="D7" s="5">
        <f t="shared" si="0"/>
        <v>11</v>
      </c>
    </row>
    <row r="8" spans="1:4" ht="15" customHeight="1" x14ac:dyDescent="0.25">
      <c r="A8" s="4" t="s">
        <v>95</v>
      </c>
      <c r="B8" s="5">
        <v>7</v>
      </c>
      <c r="C8" s="5">
        <v>4</v>
      </c>
      <c r="D8" s="5">
        <f t="shared" si="0"/>
        <v>11</v>
      </c>
    </row>
    <row r="9" spans="1:4" ht="15" customHeight="1" x14ac:dyDescent="0.25">
      <c r="A9" s="4" t="s">
        <v>96</v>
      </c>
      <c r="B9" s="5">
        <v>4</v>
      </c>
      <c r="C9" s="5">
        <v>5</v>
      </c>
      <c r="D9" s="5">
        <f t="shared" si="0"/>
        <v>9</v>
      </c>
    </row>
    <row r="10" spans="1:4" ht="15" customHeight="1" x14ac:dyDescent="0.25">
      <c r="A10" s="4" t="s">
        <v>97</v>
      </c>
      <c r="B10" s="5">
        <v>4</v>
      </c>
      <c r="C10" s="5">
        <v>3</v>
      </c>
      <c r="D10" s="5">
        <f t="shared" si="0"/>
        <v>7</v>
      </c>
    </row>
    <row r="11" spans="1:4" ht="15" customHeight="1" x14ac:dyDescent="0.25">
      <c r="A11" s="4" t="s">
        <v>98</v>
      </c>
      <c r="B11" s="5">
        <v>5</v>
      </c>
      <c r="C11" s="5">
        <v>2</v>
      </c>
      <c r="D11" s="5">
        <f t="shared" si="0"/>
        <v>7</v>
      </c>
    </row>
    <row r="12" spans="1:4" ht="15" customHeight="1" x14ac:dyDescent="0.25">
      <c r="A12" s="4" t="s">
        <v>99</v>
      </c>
      <c r="B12" s="5">
        <v>3</v>
      </c>
      <c r="C12" s="5">
        <v>3</v>
      </c>
      <c r="D12" s="5">
        <f t="shared" si="0"/>
        <v>6</v>
      </c>
    </row>
    <row r="13" spans="1:4" ht="15" customHeight="1" x14ac:dyDescent="0.25">
      <c r="A13" s="4" t="s">
        <v>100</v>
      </c>
      <c r="B13" s="5">
        <v>1</v>
      </c>
      <c r="C13" s="5">
        <v>1</v>
      </c>
      <c r="D13" s="5">
        <f t="shared" si="0"/>
        <v>2</v>
      </c>
    </row>
    <row r="14" spans="1:4" ht="15" customHeight="1" x14ac:dyDescent="0.25">
      <c r="A14" s="8" t="s">
        <v>91</v>
      </c>
      <c r="B14" s="9">
        <f>SUM(B4:B13)</f>
        <v>51</v>
      </c>
      <c r="C14" s="9">
        <f>SUM(C4:C13)</f>
        <v>46</v>
      </c>
      <c r="D14" s="9">
        <f>SUM(D4:D13)</f>
        <v>97</v>
      </c>
    </row>
    <row r="16" spans="1:4" ht="84.75" customHeight="1" x14ac:dyDescent="0.25">
      <c r="A16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showGridLines="0" zoomScaleNormal="100" workbookViewId="0">
      <selection activeCell="A12" sqref="A12"/>
    </sheetView>
  </sheetViews>
  <sheetFormatPr defaultColWidth="8.7109375" defaultRowHeight="15" x14ac:dyDescent="0.25"/>
  <cols>
    <col min="1" max="1" width="24" customWidth="1"/>
    <col min="2" max="5" width="12" customWidth="1"/>
    <col min="6" max="6" width="13" customWidth="1"/>
    <col min="7" max="7" width="10" customWidth="1"/>
  </cols>
  <sheetData>
    <row r="1" spans="1:7" ht="15" customHeight="1" x14ac:dyDescent="0.25">
      <c r="A1" s="7" t="s">
        <v>101</v>
      </c>
    </row>
    <row r="3" spans="1:7" ht="15" customHeight="1" x14ac:dyDescent="0.25">
      <c r="A3" s="3" t="s">
        <v>102</v>
      </c>
      <c r="B3" s="3" t="s">
        <v>103</v>
      </c>
      <c r="C3" s="3" t="s">
        <v>104</v>
      </c>
      <c r="D3" s="3" t="s">
        <v>105</v>
      </c>
      <c r="E3" s="3" t="s">
        <v>106</v>
      </c>
      <c r="F3" s="3" t="s">
        <v>107</v>
      </c>
      <c r="G3" s="3" t="s">
        <v>91</v>
      </c>
    </row>
    <row r="4" spans="1:7" ht="15" customHeight="1" x14ac:dyDescent="0.25">
      <c r="A4" s="4" t="s">
        <v>108</v>
      </c>
      <c r="B4" s="10">
        <v>2</v>
      </c>
      <c r="C4" s="10">
        <v>1</v>
      </c>
      <c r="D4" s="10">
        <v>6</v>
      </c>
      <c r="E4" s="10">
        <v>6</v>
      </c>
      <c r="F4" s="10">
        <v>6</v>
      </c>
      <c r="G4" s="10">
        <f t="shared" ref="G4:G9" si="0">ROUND(SUM(B4:F4),2)</f>
        <v>21</v>
      </c>
    </row>
    <row r="5" spans="1:7" ht="15" customHeight="1" x14ac:dyDescent="0.25">
      <c r="A5" s="4" t="s">
        <v>109</v>
      </c>
      <c r="B5" s="10">
        <v>0.5</v>
      </c>
      <c r="C5" s="10">
        <v>0.5</v>
      </c>
      <c r="D5" s="10">
        <v>3</v>
      </c>
      <c r="E5" s="10">
        <v>1</v>
      </c>
      <c r="F5" s="10">
        <v>3</v>
      </c>
      <c r="G5" s="10">
        <f t="shared" si="0"/>
        <v>8</v>
      </c>
    </row>
    <row r="6" spans="1:7" ht="15" customHeight="1" x14ac:dyDescent="0.25">
      <c r="A6" s="4" t="s">
        <v>110</v>
      </c>
      <c r="B6" s="10">
        <v>2</v>
      </c>
      <c r="C6" s="10">
        <v>1</v>
      </c>
      <c r="D6" s="10">
        <v>4</v>
      </c>
      <c r="E6" s="10">
        <v>8</v>
      </c>
      <c r="F6" s="10">
        <v>5</v>
      </c>
      <c r="G6" s="10">
        <f t="shared" si="0"/>
        <v>20</v>
      </c>
    </row>
    <row r="7" spans="1:7" ht="15" customHeight="1" x14ac:dyDescent="0.25">
      <c r="A7" s="4" t="s">
        <v>111</v>
      </c>
      <c r="B7" s="10">
        <v>0.33</v>
      </c>
      <c r="C7" s="10">
        <v>0.33</v>
      </c>
      <c r="D7" s="10">
        <v>4</v>
      </c>
      <c r="E7" s="10">
        <v>0.33</v>
      </c>
      <c r="F7" s="10">
        <v>2</v>
      </c>
      <c r="G7" s="10">
        <f t="shared" si="0"/>
        <v>6.99</v>
      </c>
    </row>
    <row r="8" spans="1:7" ht="15" customHeight="1" x14ac:dyDescent="0.25">
      <c r="A8" s="4" t="s">
        <v>112</v>
      </c>
      <c r="B8" s="10">
        <v>2</v>
      </c>
      <c r="C8" s="10">
        <v>1</v>
      </c>
      <c r="D8" s="10">
        <v>6</v>
      </c>
      <c r="E8" s="10">
        <v>5</v>
      </c>
      <c r="F8" s="10">
        <v>4</v>
      </c>
      <c r="G8" s="10">
        <f t="shared" si="0"/>
        <v>18</v>
      </c>
    </row>
    <row r="9" spans="1:7" ht="15" customHeight="1" x14ac:dyDescent="0.25">
      <c r="A9" s="4" t="s">
        <v>113</v>
      </c>
      <c r="B9" s="10">
        <v>0.33</v>
      </c>
      <c r="C9" s="10">
        <v>0.67</v>
      </c>
      <c r="D9" s="10">
        <v>2</v>
      </c>
      <c r="E9" s="10">
        <v>0.5</v>
      </c>
      <c r="F9" s="10">
        <v>3.5</v>
      </c>
      <c r="G9" s="10">
        <f t="shared" si="0"/>
        <v>7</v>
      </c>
    </row>
    <row r="10" spans="1:7" ht="15" customHeight="1" x14ac:dyDescent="0.25">
      <c r="A10" s="8" t="s">
        <v>114</v>
      </c>
      <c r="B10" s="11">
        <f t="shared" ref="B10:G10" si="1">ROUND(SUM(B4:B9),2)</f>
        <v>7.16</v>
      </c>
      <c r="C10" s="11">
        <f t="shared" si="1"/>
        <v>4.5</v>
      </c>
      <c r="D10" s="11">
        <f t="shared" si="1"/>
        <v>25</v>
      </c>
      <c r="E10" s="11">
        <f t="shared" si="1"/>
        <v>20.83</v>
      </c>
      <c r="F10" s="11">
        <f t="shared" si="1"/>
        <v>23.5</v>
      </c>
      <c r="G10" s="11">
        <f t="shared" si="1"/>
        <v>80.989999999999995</v>
      </c>
    </row>
    <row r="12" spans="1:7" ht="95.25" customHeight="1" x14ac:dyDescent="0.25">
      <c r="A12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zoomScaleNormal="100" workbookViewId="0">
      <selection activeCell="A9" sqref="A9"/>
    </sheetView>
  </sheetViews>
  <sheetFormatPr defaultColWidth="8.7109375" defaultRowHeight="15" x14ac:dyDescent="0.25"/>
  <cols>
    <col min="1" max="1" width="18" customWidth="1"/>
    <col min="2" max="3" width="12" customWidth="1"/>
    <col min="4" max="4" width="13" customWidth="1"/>
    <col min="5" max="5" width="12" customWidth="1"/>
  </cols>
  <sheetData>
    <row r="1" spans="1:5" ht="15" customHeight="1" x14ac:dyDescent="0.25">
      <c r="A1" s="7" t="s">
        <v>115</v>
      </c>
    </row>
    <row r="3" spans="1:5" ht="15" customHeight="1" x14ac:dyDescent="0.25">
      <c r="A3" s="3" t="s">
        <v>78</v>
      </c>
      <c r="B3" s="3" t="s">
        <v>116</v>
      </c>
      <c r="C3" s="3" t="s">
        <v>117</v>
      </c>
      <c r="D3" s="3" t="s">
        <v>118</v>
      </c>
      <c r="E3" s="3" t="s">
        <v>119</v>
      </c>
    </row>
    <row r="4" spans="1:5" ht="15" customHeight="1" x14ac:dyDescent="0.25">
      <c r="A4" s="4" t="s">
        <v>97</v>
      </c>
      <c r="B4" s="5">
        <v>21</v>
      </c>
      <c r="C4" s="5">
        <v>8</v>
      </c>
      <c r="D4" s="5">
        <f>B4-C4</f>
        <v>13</v>
      </c>
      <c r="E4" s="12">
        <f>(B4-C4)/B4</f>
        <v>0.61904761904761907</v>
      </c>
    </row>
    <row r="5" spans="1:5" ht="15" customHeight="1" x14ac:dyDescent="0.25">
      <c r="A5" s="4" t="s">
        <v>94</v>
      </c>
      <c r="B5" s="5">
        <v>20</v>
      </c>
      <c r="C5" s="5">
        <v>7</v>
      </c>
      <c r="D5" s="5">
        <f>B5-C5</f>
        <v>13</v>
      </c>
      <c r="E5" s="12">
        <f>(B5-C5)/B5</f>
        <v>0.65</v>
      </c>
    </row>
    <row r="6" spans="1:5" ht="15" customHeight="1" x14ac:dyDescent="0.25">
      <c r="A6" s="4" t="s">
        <v>92</v>
      </c>
      <c r="B6" s="5">
        <v>18</v>
      </c>
      <c r="C6" s="5">
        <v>7</v>
      </c>
      <c r="D6" s="5">
        <f>B6-C6</f>
        <v>11</v>
      </c>
      <c r="E6" s="12">
        <f>(B6-C6)/B6</f>
        <v>0.61111111111111116</v>
      </c>
    </row>
    <row r="7" spans="1:5" ht="15" customHeight="1" x14ac:dyDescent="0.25">
      <c r="A7" s="8" t="s">
        <v>91</v>
      </c>
      <c r="B7" s="9">
        <f>SUM(B4:B6)</f>
        <v>59</v>
      </c>
      <c r="C7" s="9">
        <f>SUM(C4:C6)</f>
        <v>22</v>
      </c>
      <c r="D7" s="9">
        <f>SUM(D4:D6)</f>
        <v>37</v>
      </c>
      <c r="E7" s="13">
        <f>(B7-C7)/B7</f>
        <v>0.6271186440677966</v>
      </c>
    </row>
    <row r="9" spans="1:5" ht="84.75" customHeight="1" x14ac:dyDescent="0.25">
      <c r="A9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showGridLines="0" zoomScaleNormal="100" workbookViewId="0">
      <selection activeCell="A14" sqref="A14"/>
    </sheetView>
  </sheetViews>
  <sheetFormatPr defaultColWidth="8.7109375" defaultRowHeight="15" x14ac:dyDescent="0.25"/>
  <cols>
    <col min="1" max="1" width="38" customWidth="1"/>
    <col min="2" max="3" width="12" customWidth="1"/>
  </cols>
  <sheetData>
    <row r="1" spans="1:3" ht="15" customHeight="1" x14ac:dyDescent="0.25">
      <c r="A1" s="7" t="s">
        <v>120</v>
      </c>
    </row>
    <row r="3" spans="1:3" ht="15" customHeight="1" x14ac:dyDescent="0.25">
      <c r="A3" s="3" t="s">
        <v>121</v>
      </c>
      <c r="B3" s="3" t="s">
        <v>116</v>
      </c>
      <c r="C3" s="3" t="s">
        <v>117</v>
      </c>
    </row>
    <row r="4" spans="1:3" ht="15" customHeight="1" x14ac:dyDescent="0.25">
      <c r="A4" s="4" t="s">
        <v>103</v>
      </c>
      <c r="B4" s="10">
        <v>6</v>
      </c>
      <c r="C4" s="10">
        <v>1.17</v>
      </c>
    </row>
    <row r="5" spans="1:3" ht="15" customHeight="1" x14ac:dyDescent="0.25">
      <c r="A5" s="4" t="s">
        <v>104</v>
      </c>
      <c r="B5" s="10">
        <v>3</v>
      </c>
      <c r="C5" s="10">
        <v>1.5</v>
      </c>
    </row>
    <row r="6" spans="1:3" ht="15" customHeight="1" x14ac:dyDescent="0.25">
      <c r="A6" s="4" t="s">
        <v>105</v>
      </c>
      <c r="B6" s="10">
        <v>16</v>
      </c>
      <c r="C6" s="10">
        <v>9</v>
      </c>
    </row>
    <row r="7" spans="1:3" ht="15" customHeight="1" x14ac:dyDescent="0.25">
      <c r="A7" s="4" t="s">
        <v>106</v>
      </c>
      <c r="B7" s="10">
        <v>19</v>
      </c>
      <c r="C7" s="10">
        <v>1.83</v>
      </c>
    </row>
    <row r="8" spans="1:3" ht="15" customHeight="1" x14ac:dyDescent="0.25">
      <c r="A8" s="4" t="s">
        <v>107</v>
      </c>
      <c r="B8" s="10">
        <v>15</v>
      </c>
      <c r="C8" s="10">
        <v>8.5</v>
      </c>
    </row>
    <row r="9" spans="1:3" ht="15" customHeight="1" x14ac:dyDescent="0.25">
      <c r="A9" s="8" t="s">
        <v>91</v>
      </c>
      <c r="B9" s="11">
        <f>ROUND(SUM(B4:B8),2)</f>
        <v>59</v>
      </c>
      <c r="C9" s="11">
        <f>ROUND(SUM(C4:C8),2)</f>
        <v>22</v>
      </c>
    </row>
    <row r="11" spans="1:3" ht="15" customHeight="1" x14ac:dyDescent="0.25">
      <c r="A11" s="6" t="s">
        <v>122</v>
      </c>
      <c r="C11" s="14">
        <f>ROUND(C4+C5+C7,2)</f>
        <v>4.5</v>
      </c>
    </row>
    <row r="12" spans="1:3" ht="15" customHeight="1" x14ac:dyDescent="0.25">
      <c r="A12" s="6" t="s">
        <v>123</v>
      </c>
      <c r="C12" s="14">
        <f>ROUND(C11/3*10,0)</f>
        <v>15</v>
      </c>
    </row>
    <row r="14" spans="1:3" ht="74.25" customHeight="1" x14ac:dyDescent="0.25">
      <c r="A14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showGridLines="0" zoomScaleNormal="100" workbookViewId="0">
      <selection activeCell="A24" sqref="A24"/>
    </sheetView>
  </sheetViews>
  <sheetFormatPr defaultColWidth="8.7109375" defaultRowHeight="15" x14ac:dyDescent="0.25"/>
  <cols>
    <col min="1" max="1" width="36" customWidth="1"/>
    <col min="2" max="3" width="20" customWidth="1"/>
    <col min="4" max="4" width="18" customWidth="1"/>
  </cols>
  <sheetData>
    <row r="1" spans="1:4" ht="15" customHeight="1" x14ac:dyDescent="0.25">
      <c r="A1" s="7" t="s">
        <v>124</v>
      </c>
    </row>
    <row r="3" spans="1:4" ht="23.25" customHeight="1" x14ac:dyDescent="0.25">
      <c r="A3" s="3" t="s">
        <v>125</v>
      </c>
      <c r="B3" s="3" t="s">
        <v>126</v>
      </c>
      <c r="C3" s="3" t="s">
        <v>127</v>
      </c>
      <c r="D3" s="3" t="s">
        <v>128</v>
      </c>
    </row>
    <row r="4" spans="1:4" ht="15" customHeight="1" x14ac:dyDescent="0.25">
      <c r="A4" s="15">
        <v>2009</v>
      </c>
      <c r="B4" s="16">
        <v>0.871</v>
      </c>
      <c r="C4" s="16">
        <v>9.9459999999999997</v>
      </c>
      <c r="D4" s="17">
        <v>3.3</v>
      </c>
    </row>
    <row r="5" spans="1:4" ht="15" customHeight="1" x14ac:dyDescent="0.25">
      <c r="A5" s="15">
        <v>2010</v>
      </c>
      <c r="B5" s="16">
        <v>0.86699999999999999</v>
      </c>
      <c r="C5" s="16">
        <v>10.462</v>
      </c>
      <c r="D5" s="17">
        <v>4.9000000000000004</v>
      </c>
    </row>
    <row r="6" spans="1:4" ht="15" customHeight="1" x14ac:dyDescent="0.25">
      <c r="A6" s="15">
        <v>2011</v>
      </c>
      <c r="B6" s="16">
        <v>0.89200000000000002</v>
      </c>
      <c r="C6" s="16">
        <v>10.321</v>
      </c>
      <c r="D6" s="17">
        <v>6.9</v>
      </c>
    </row>
    <row r="7" spans="1:4" ht="15" customHeight="1" x14ac:dyDescent="0.25">
      <c r="A7" s="15">
        <v>2012</v>
      </c>
      <c r="B7" s="16">
        <v>0.85599999999999998</v>
      </c>
      <c r="C7" s="16">
        <v>10.326000000000001</v>
      </c>
      <c r="D7" s="17">
        <v>9.4</v>
      </c>
    </row>
    <row r="8" spans="1:4" ht="15" customHeight="1" x14ac:dyDescent="0.25">
      <c r="A8" s="15">
        <v>2013</v>
      </c>
      <c r="B8" s="16">
        <v>0.91100000000000003</v>
      </c>
      <c r="C8" s="16">
        <v>10.898999999999999</v>
      </c>
      <c r="D8" s="17">
        <v>10.4</v>
      </c>
    </row>
    <row r="9" spans="1:4" ht="15" customHeight="1" x14ac:dyDescent="0.25">
      <c r="A9" s="15">
        <v>2014</v>
      </c>
      <c r="B9" s="16">
        <v>0.84599999999999997</v>
      </c>
      <c r="C9" s="16">
        <v>10.422000000000001</v>
      </c>
      <c r="D9" s="17">
        <v>13.9</v>
      </c>
    </row>
    <row r="10" spans="1:4" ht="15" customHeight="1" x14ac:dyDescent="0.25">
      <c r="A10" s="15">
        <v>2015</v>
      </c>
      <c r="B10" s="16">
        <v>0.88400000000000001</v>
      </c>
      <c r="C10" s="16">
        <v>11.297000000000001</v>
      </c>
      <c r="D10" s="17">
        <v>17.100000000000001</v>
      </c>
    </row>
    <row r="11" spans="1:4" ht="15" customHeight="1" x14ac:dyDescent="0.25">
      <c r="A11" s="15">
        <v>2016</v>
      </c>
      <c r="B11" s="16">
        <v>0.91800000000000004</v>
      </c>
      <c r="C11" s="16">
        <v>11.234</v>
      </c>
      <c r="D11" s="17">
        <v>15.3</v>
      </c>
    </row>
    <row r="12" spans="1:4" ht="15" customHeight="1" x14ac:dyDescent="0.25">
      <c r="A12" s="15">
        <v>2017</v>
      </c>
      <c r="B12" s="16">
        <v>0.9</v>
      </c>
      <c r="C12" s="16">
        <v>11.614000000000001</v>
      </c>
      <c r="D12" s="17">
        <v>20.100000000000001</v>
      </c>
    </row>
    <row r="13" spans="1:4" ht="15" customHeight="1" x14ac:dyDescent="0.25">
      <c r="A13" s="15">
        <v>2018</v>
      </c>
      <c r="B13" s="16">
        <v>0.86</v>
      </c>
      <c r="C13" s="16">
        <v>11.156000000000001</v>
      </c>
      <c r="D13" s="17">
        <v>21.2</v>
      </c>
    </row>
    <row r="14" spans="1:4" ht="15" customHeight="1" x14ac:dyDescent="0.25">
      <c r="A14" s="15">
        <v>2019</v>
      </c>
      <c r="B14" s="16">
        <v>0.82899999999999996</v>
      </c>
      <c r="C14" s="16">
        <v>10.891</v>
      </c>
      <c r="D14" s="17">
        <v>25.7</v>
      </c>
    </row>
    <row r="15" spans="1:4" ht="15" customHeight="1" x14ac:dyDescent="0.25">
      <c r="A15" s="15">
        <v>2020</v>
      </c>
      <c r="B15" s="16">
        <v>0.82699999999999996</v>
      </c>
      <c r="C15" s="16">
        <v>11.058</v>
      </c>
      <c r="D15" s="17">
        <v>25.7</v>
      </c>
    </row>
    <row r="16" spans="1:4" ht="15" customHeight="1" x14ac:dyDescent="0.25">
      <c r="A16" s="15">
        <v>2021</v>
      </c>
      <c r="B16" s="16">
        <v>0.84799999999999998</v>
      </c>
      <c r="C16" s="16">
        <v>11.037000000000001</v>
      </c>
      <c r="D16" s="17">
        <v>24.4</v>
      </c>
    </row>
    <row r="17" spans="1:4" ht="15" customHeight="1" x14ac:dyDescent="0.25">
      <c r="A17" s="15">
        <v>2022</v>
      </c>
      <c r="B17" s="16">
        <v>0.80900000000000005</v>
      </c>
      <c r="C17" s="16">
        <v>11.282999999999999</v>
      </c>
      <c r="D17" s="17">
        <v>29.5</v>
      </c>
    </row>
    <row r="18" spans="1:4" ht="15" customHeight="1" x14ac:dyDescent="0.25">
      <c r="A18" s="15">
        <v>2023</v>
      </c>
      <c r="B18" s="16">
        <v>0.82099999999999995</v>
      </c>
      <c r="C18" s="16">
        <v>11.406000000000001</v>
      </c>
      <c r="D18" s="17">
        <v>30.6</v>
      </c>
    </row>
    <row r="19" spans="1:4" ht="15" customHeight="1" x14ac:dyDescent="0.25">
      <c r="A19" s="15">
        <v>2024</v>
      </c>
      <c r="B19" s="16">
        <v>0.80700000000000005</v>
      </c>
      <c r="C19" s="16">
        <v>11.342000000000001</v>
      </c>
      <c r="D19" s="17">
        <v>33.9</v>
      </c>
    </row>
    <row r="20" spans="1:4" ht="15" customHeight="1" x14ac:dyDescent="0.25">
      <c r="A20" s="15">
        <v>2025</v>
      </c>
      <c r="B20" s="16">
        <v>0.74399999999999999</v>
      </c>
      <c r="C20" s="16">
        <v>11.478999999999999</v>
      </c>
      <c r="D20" s="17">
        <v>41.2</v>
      </c>
    </row>
    <row r="22" spans="1:4" ht="15" customHeight="1" x14ac:dyDescent="0.25">
      <c r="A22" s="6" t="s">
        <v>129</v>
      </c>
      <c r="B22" s="18">
        <f>(B4-B20)/B4</f>
        <v>0.14580941446613088</v>
      </c>
    </row>
    <row r="24" spans="1:4" ht="53.25" customHeight="1" x14ac:dyDescent="0.25">
      <c r="A24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showGridLines="0" zoomScaleNormal="100" workbookViewId="0">
      <selection activeCell="C30" sqref="C30"/>
    </sheetView>
  </sheetViews>
  <sheetFormatPr defaultColWidth="8.7109375" defaultRowHeight="15" x14ac:dyDescent="0.25"/>
  <cols>
    <col min="1" max="1" width="26" customWidth="1"/>
    <col min="2" max="2" width="20" customWidth="1"/>
    <col min="3" max="3" width="3" customWidth="1"/>
    <col min="4" max="4" width="24" customWidth="1"/>
    <col min="5" max="5" width="20" customWidth="1"/>
  </cols>
  <sheetData>
    <row r="1" spans="1:5" ht="15" customHeight="1" x14ac:dyDescent="0.25">
      <c r="A1" s="7" t="s">
        <v>130</v>
      </c>
    </row>
    <row r="3" spans="1:5" ht="15" customHeight="1" x14ac:dyDescent="0.25">
      <c r="A3" s="3" t="s">
        <v>78</v>
      </c>
      <c r="B3" s="3" t="s">
        <v>126</v>
      </c>
      <c r="D3" s="3" t="s">
        <v>131</v>
      </c>
      <c r="E3" s="3" t="s">
        <v>132</v>
      </c>
    </row>
    <row r="4" spans="1:5" ht="15" customHeight="1" x14ac:dyDescent="0.25">
      <c r="A4" s="4" t="s">
        <v>92</v>
      </c>
      <c r="B4" s="16">
        <v>0.60399999999999998</v>
      </c>
      <c r="D4" s="4" t="s">
        <v>133</v>
      </c>
      <c r="E4" s="5">
        <v>4</v>
      </c>
    </row>
    <row r="5" spans="1:5" ht="15" customHeight="1" x14ac:dyDescent="0.25">
      <c r="A5" s="4" t="s">
        <v>98</v>
      </c>
      <c r="B5" s="16">
        <v>0.60599999999999998</v>
      </c>
      <c r="D5" s="4" t="s">
        <v>134</v>
      </c>
      <c r="E5" s="5">
        <v>1</v>
      </c>
    </row>
    <row r="6" spans="1:5" ht="15" customHeight="1" x14ac:dyDescent="0.25">
      <c r="A6" s="4" t="s">
        <v>97</v>
      </c>
      <c r="B6" s="16">
        <v>0.61399999999999999</v>
      </c>
      <c r="D6" s="4" t="s">
        <v>135</v>
      </c>
      <c r="E6" s="5">
        <v>3</v>
      </c>
    </row>
    <row r="7" spans="1:5" ht="15" customHeight="1" x14ac:dyDescent="0.25">
      <c r="A7" s="4" t="s">
        <v>99</v>
      </c>
      <c r="B7" s="16">
        <v>0.63500000000000001</v>
      </c>
      <c r="D7" s="4" t="s">
        <v>136</v>
      </c>
      <c r="E7" s="5">
        <v>1</v>
      </c>
    </row>
    <row r="8" spans="1:5" ht="15" customHeight="1" x14ac:dyDescent="0.25">
      <c r="A8" s="4" t="s">
        <v>96</v>
      </c>
      <c r="B8" s="16">
        <v>0.71899999999999997</v>
      </c>
      <c r="D8" s="4" t="s">
        <v>137</v>
      </c>
      <c r="E8" s="5">
        <v>1</v>
      </c>
    </row>
    <row r="9" spans="1:5" ht="15" customHeight="1" x14ac:dyDescent="0.25">
      <c r="A9" s="4" t="s">
        <v>100</v>
      </c>
      <c r="B9" s="16">
        <v>0.81499999999999995</v>
      </c>
      <c r="D9" s="8" t="s">
        <v>91</v>
      </c>
      <c r="E9" s="9">
        <f>SUM(E4:E8)</f>
        <v>10</v>
      </c>
    </row>
    <row r="10" spans="1:5" ht="15" customHeight="1" x14ac:dyDescent="0.25">
      <c r="A10" s="4" t="s">
        <v>95</v>
      </c>
      <c r="B10" s="16">
        <v>0.81899999999999995</v>
      </c>
    </row>
    <row r="11" spans="1:5" ht="15" customHeight="1" x14ac:dyDescent="0.25">
      <c r="A11" s="4" t="s">
        <v>93</v>
      </c>
      <c r="B11" s="16">
        <v>0.82399999999999995</v>
      </c>
    </row>
    <row r="12" spans="1:5" ht="15" customHeight="1" x14ac:dyDescent="0.25">
      <c r="A12" s="4" t="s">
        <v>83</v>
      </c>
      <c r="B12" s="16">
        <v>0.94299999999999995</v>
      </c>
    </row>
    <row r="13" spans="1:5" ht="15" customHeight="1" x14ac:dyDescent="0.25">
      <c r="A13" s="4" t="s">
        <v>94</v>
      </c>
      <c r="B13" s="16">
        <v>1.0149999999999999</v>
      </c>
    </row>
    <row r="15" spans="1:5" ht="15" customHeight="1" x14ac:dyDescent="0.25">
      <c r="A15" s="6" t="s">
        <v>138</v>
      </c>
    </row>
    <row r="16" spans="1:5" ht="15" customHeight="1" x14ac:dyDescent="0.25">
      <c r="A16" s="19" t="s">
        <v>75</v>
      </c>
      <c r="B16" s="20">
        <f>MIN(B4:B13)</f>
        <v>0.60399999999999998</v>
      </c>
    </row>
    <row r="17" spans="1:2" ht="15" customHeight="1" x14ac:dyDescent="0.25">
      <c r="A17" s="19" t="s">
        <v>139</v>
      </c>
      <c r="B17" s="20">
        <f>QUARTILE(B4:B13,1)</f>
        <v>0.61924999999999997</v>
      </c>
    </row>
    <row r="18" spans="1:2" ht="15" customHeight="1" x14ac:dyDescent="0.25">
      <c r="A18" s="19" t="s">
        <v>140</v>
      </c>
      <c r="B18" s="20">
        <f>MEDIAN(B4:B13)</f>
        <v>0.7669999999999999</v>
      </c>
    </row>
    <row r="19" spans="1:2" ht="15" customHeight="1" x14ac:dyDescent="0.25">
      <c r="A19" s="19" t="s">
        <v>141</v>
      </c>
      <c r="B19" s="20">
        <f>QUARTILE(B4:B13,3)</f>
        <v>0.82274999999999998</v>
      </c>
    </row>
    <row r="20" spans="1:2" ht="15" customHeight="1" x14ac:dyDescent="0.25">
      <c r="A20" s="19" t="s">
        <v>76</v>
      </c>
      <c r="B20" s="20">
        <f>MAX(B4:B13)</f>
        <v>1.0149999999999999</v>
      </c>
    </row>
    <row r="21" spans="1:2" ht="15" customHeight="1" x14ac:dyDescent="0.25">
      <c r="A21" s="19" t="s">
        <v>142</v>
      </c>
      <c r="B21" s="20">
        <f>MAX(B4:B13)/MIN(B4:B13)</f>
        <v>1.6804635761589404</v>
      </c>
    </row>
    <row r="23" spans="1:2" ht="53.25" customHeight="1" x14ac:dyDescent="0.25">
      <c r="A23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Fig 4.1 Units per field</vt:lpstr>
      <vt:lpstr>Fig 4.2 Manual estimates</vt:lpstr>
      <vt:lpstr>Fig 4.3 Flags by company</vt:lpstr>
      <vt:lpstr>Fig 4.5 Effort by stage</vt:lpstr>
      <vt:lpstr>Fig 4.6 Totals by company</vt:lpstr>
      <vt:lpstr>Fig 4.7 Aggregate by stage</vt:lpstr>
      <vt:lpstr>Fig 4.8 Sector trend</vt:lpstr>
      <vt:lpstr>Fig 4.9 CO2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Vedant Bhatia</cp:lastModifiedBy>
  <cp:revision>2</cp:revision>
  <dcterms:created xsi:type="dcterms:W3CDTF">2026-08-03T00:00:48Z</dcterms:created>
  <dcterms:modified xsi:type="dcterms:W3CDTF">2026-08-03T14:35:06Z</dcterms:modified>
  <dc:language>en-US</dc:language>
</cp:coreProperties>
</file>